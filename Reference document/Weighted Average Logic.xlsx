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9BA3CC6A-1295-4794-AA13-77B5466E3C56}" xr6:coauthVersionLast="47" xr6:coauthVersionMax="47" xr10:uidLastSave="{00000000-0000-0000-0000-000000000000}"/>
  <bookViews>
    <workbookView xWindow="1820" yWindow="1820" windowWidth="14370" windowHeight="7270" activeTab="1" xr2:uid="{ABA79473-B33F-4B33-A958-882FAD797C62}"/>
  </bookViews>
  <sheets>
    <sheet name="Weighted Average" sheetId="1" r:id="rId1"/>
    <sheet name="Weighted Average + Comb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3" i="2" l="1"/>
  <c r="B43" i="2"/>
  <c r="B44" i="2" s="1"/>
  <c r="G16" i="2"/>
  <c r="F16" i="2"/>
  <c r="E16" i="2"/>
  <c r="C33" i="2"/>
  <c r="B33" i="2"/>
  <c r="B34" i="2" s="1"/>
  <c r="C23" i="2"/>
  <c r="B23" i="2"/>
  <c r="B24" i="2" s="1"/>
  <c r="E15" i="2"/>
  <c r="E15" i="1"/>
  <c r="C22" i="1"/>
  <c r="B22" i="1"/>
  <c r="C7" i="1" s="1"/>
  <c r="D43" i="2" l="1"/>
  <c r="G43" i="2" s="1"/>
  <c r="H43" i="2" s="1"/>
  <c r="H16" i="2"/>
  <c r="D33" i="2"/>
  <c r="G33" i="2" s="1"/>
  <c r="H33" i="2" s="1"/>
  <c r="D23" i="2"/>
  <c r="C7" i="2"/>
  <c r="D7" i="2"/>
  <c r="E7" i="2"/>
  <c r="B23" i="1"/>
  <c r="E16" i="1" s="1"/>
  <c r="D7" i="1"/>
  <c r="E7" i="1"/>
  <c r="D22" i="1"/>
  <c r="C44" i="2" l="1"/>
  <c r="D44" i="2" s="1"/>
  <c r="C34" i="2"/>
  <c r="D34" i="2" s="1"/>
  <c r="G23" i="2"/>
  <c r="F7" i="2"/>
  <c r="G22" i="1"/>
  <c r="F7" i="1"/>
  <c r="G15" i="2" l="1"/>
  <c r="H15" i="2" s="1"/>
  <c r="F15" i="2"/>
  <c r="H23" i="2"/>
  <c r="C24" i="2"/>
  <c r="F15" i="1"/>
  <c r="H22" i="1"/>
  <c r="G15" i="1"/>
  <c r="H15" i="1" s="1"/>
  <c r="C23" i="1"/>
  <c r="D24" i="2" l="1"/>
  <c r="G16" i="1"/>
  <c r="H16" i="1" s="1"/>
  <c r="F16" i="1"/>
  <c r="D23" i="1"/>
</calcChain>
</file>

<file path=xl/sharedStrings.xml><?xml version="1.0" encoding="utf-8"?>
<sst xmlns="http://schemas.openxmlformats.org/spreadsheetml/2006/main" count="147" uniqueCount="22">
  <si>
    <t>Company Level</t>
  </si>
  <si>
    <t>SGD</t>
  </si>
  <si>
    <t>Ordinary</t>
  </si>
  <si>
    <t>No of shares</t>
  </si>
  <si>
    <t>Issued Capital</t>
  </si>
  <si>
    <t>Paid Up Capital</t>
  </si>
  <si>
    <t>Currency</t>
  </si>
  <si>
    <t>Share Class Type</t>
  </si>
  <si>
    <t>Rate</t>
  </si>
  <si>
    <t>Shareholders Level</t>
  </si>
  <si>
    <t>Name</t>
  </si>
  <si>
    <t>Share Cert</t>
  </si>
  <si>
    <t>Shareholder 1</t>
  </si>
  <si>
    <t>Shareholder 2</t>
  </si>
  <si>
    <t>Shareholder 3</t>
  </si>
  <si>
    <t>No of Shares</t>
  </si>
  <si>
    <t>Paid Up / Issued</t>
  </si>
  <si>
    <t>Total</t>
  </si>
  <si>
    <t>Invalid</t>
  </si>
  <si>
    <t>New Creation</t>
  </si>
  <si>
    <t>Checkbox Combine</t>
  </si>
  <si>
    <t>1 or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</si>
</sst>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0" fontId="1" fillId="0" borderId="0" xfId="0" applyFont="1"/>
    <xf numFmtId="0" fontId="0" fillId="4" borderId="0" xfId="0" applyFill="1"/>
    <xf numFmtId="0" fontId="1" fillId="5" borderId="0" xfId="0" applyFont="1" applyFill="1"/>
    <xf numFmtId="0" fontId="0" fillId="5" borderId="0" xfId="0" applyFill="1"/>
    <xf numFmtId="16" fontId="1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5C836-6049-46D3-AE3A-E7126317DC0B}">
  <dimension ref="A1:I23"/>
  <sheetViews>
    <sheetView topLeftCell="A10" zoomScaleNormal="100" workbookViewId="0">
      <selection activeCell="A17" sqref="A17:XFD17"/>
    </sheetView>
  </sheetViews>
  <sheetFormatPr defaultRowHeight="14.5" x14ac:dyDescent="0.35"/>
  <cols>
    <col min="1" max="1" width="17.36328125" customWidth="1"/>
    <col min="2" max="2" width="17.54296875" customWidth="1"/>
    <col min="3" max="3" width="17.6328125" customWidth="1"/>
    <col min="4" max="7" width="17.453125" customWidth="1"/>
    <col min="8" max="8" width="9.1796875" customWidth="1"/>
  </cols>
  <sheetData>
    <row r="1" spans="1:9" s="4" customFormat="1" x14ac:dyDescent="0.35">
      <c r="A1" s="4" t="s">
        <v>0</v>
      </c>
    </row>
    <row r="2" spans="1:9" s="4" customFormat="1" x14ac:dyDescent="0.35">
      <c r="A2" s="4" t="s">
        <v>6</v>
      </c>
      <c r="B2" s="4" t="s">
        <v>7</v>
      </c>
      <c r="C2" s="4" t="s">
        <v>3</v>
      </c>
      <c r="D2" s="4" t="s">
        <v>4</v>
      </c>
      <c r="E2" s="4" t="s">
        <v>5</v>
      </c>
      <c r="F2" s="4" t="s">
        <v>8</v>
      </c>
    </row>
    <row r="3" spans="1:9" x14ac:dyDescent="0.35">
      <c r="A3" s="2" t="s">
        <v>1</v>
      </c>
      <c r="B3" s="2" t="s">
        <v>2</v>
      </c>
      <c r="C3" s="2">
        <v>1000</v>
      </c>
      <c r="D3" s="2">
        <v>1000</v>
      </c>
      <c r="E3" s="2">
        <v>1000</v>
      </c>
      <c r="F3" s="2">
        <v>1</v>
      </c>
      <c r="G3" t="s">
        <v>18</v>
      </c>
    </row>
    <row r="4" spans="1:9" x14ac:dyDescent="0.35">
      <c r="A4" s="2" t="s">
        <v>1</v>
      </c>
      <c r="B4" s="2" t="s">
        <v>2</v>
      </c>
      <c r="C4" s="2">
        <v>2000</v>
      </c>
      <c r="D4" s="2">
        <v>1000</v>
      </c>
      <c r="E4" s="2">
        <v>1000</v>
      </c>
      <c r="F4" s="2">
        <v>2</v>
      </c>
      <c r="G4" t="s">
        <v>18</v>
      </c>
    </row>
    <row r="5" spans="1:9" x14ac:dyDescent="0.35">
      <c r="A5" t="s">
        <v>1</v>
      </c>
      <c r="B5" t="s">
        <v>2</v>
      </c>
      <c r="C5" s="3">
        <v>500</v>
      </c>
      <c r="D5" s="3">
        <v>500</v>
      </c>
      <c r="E5" s="3">
        <v>500</v>
      </c>
      <c r="F5" s="3">
        <v>1</v>
      </c>
      <c r="G5" t="s">
        <v>19</v>
      </c>
    </row>
    <row r="6" spans="1:9" x14ac:dyDescent="0.35">
      <c r="A6" t="s">
        <v>1</v>
      </c>
      <c r="B6" t="s">
        <v>2</v>
      </c>
      <c r="C6" s="3">
        <v>1000</v>
      </c>
      <c r="D6" s="3">
        <v>500</v>
      </c>
      <c r="E6" s="3">
        <v>500</v>
      </c>
      <c r="F6" s="3">
        <v>2</v>
      </c>
      <c r="G6" t="s">
        <v>19</v>
      </c>
    </row>
    <row r="7" spans="1:9" s="5" customFormat="1" x14ac:dyDescent="0.35">
      <c r="A7" s="5" t="s">
        <v>1</v>
      </c>
      <c r="B7" s="5" t="s">
        <v>2</v>
      </c>
      <c r="C7" s="5">
        <f>B22</f>
        <v>1500</v>
      </c>
      <c r="D7" s="5">
        <f>C22</f>
        <v>1000</v>
      </c>
      <c r="E7" s="5">
        <f>C22</f>
        <v>1000</v>
      </c>
      <c r="F7" s="5">
        <f>D22</f>
        <v>0.66666666666666663</v>
      </c>
      <c r="I7" s="5" t="s">
        <v>19</v>
      </c>
    </row>
    <row r="9" spans="1:9" s="4" customFormat="1" x14ac:dyDescent="0.35">
      <c r="A9" s="4" t="s">
        <v>9</v>
      </c>
    </row>
    <row r="10" spans="1:9" s="4" customFormat="1" x14ac:dyDescent="0.35">
      <c r="A10" s="4" t="s">
        <v>10</v>
      </c>
      <c r="B10" s="4" t="s">
        <v>11</v>
      </c>
      <c r="C10" s="4" t="s">
        <v>6</v>
      </c>
      <c r="D10" s="4" t="s">
        <v>7</v>
      </c>
      <c r="E10" s="4" t="s">
        <v>3</v>
      </c>
      <c r="F10" s="4" t="s">
        <v>4</v>
      </c>
      <c r="G10" s="4" t="s">
        <v>5</v>
      </c>
      <c r="H10" s="4" t="s">
        <v>8</v>
      </c>
    </row>
    <row r="11" spans="1:9" x14ac:dyDescent="0.35">
      <c r="A11" t="s">
        <v>13</v>
      </c>
      <c r="B11">
        <v>3</v>
      </c>
      <c r="C11" t="s">
        <v>1</v>
      </c>
      <c r="D11" t="s">
        <v>2</v>
      </c>
      <c r="E11">
        <v>1000</v>
      </c>
      <c r="F11">
        <v>500</v>
      </c>
      <c r="G11">
        <v>500</v>
      </c>
      <c r="H11">
        <v>2</v>
      </c>
    </row>
    <row r="12" spans="1:9" x14ac:dyDescent="0.35">
      <c r="A12" t="s">
        <v>13</v>
      </c>
      <c r="B12">
        <v>6</v>
      </c>
      <c r="C12" t="s">
        <v>1</v>
      </c>
      <c r="D12" t="s">
        <v>2</v>
      </c>
      <c r="E12">
        <v>500</v>
      </c>
      <c r="F12">
        <v>500</v>
      </c>
      <c r="G12">
        <v>500</v>
      </c>
      <c r="H12">
        <v>1</v>
      </c>
    </row>
    <row r="13" spans="1:9" x14ac:dyDescent="0.35">
      <c r="A13" t="s">
        <v>12</v>
      </c>
      <c r="B13" s="2">
        <v>1</v>
      </c>
      <c r="C13" s="2" t="s">
        <v>1</v>
      </c>
      <c r="D13" s="2" t="s">
        <v>2</v>
      </c>
      <c r="E13" s="2">
        <v>500</v>
      </c>
      <c r="F13" s="2">
        <v>500</v>
      </c>
      <c r="G13" s="2">
        <v>500</v>
      </c>
      <c r="H13" s="2">
        <v>1</v>
      </c>
    </row>
    <row r="14" spans="1:9" x14ac:dyDescent="0.35">
      <c r="A14" t="s">
        <v>12</v>
      </c>
      <c r="B14" s="2">
        <v>2</v>
      </c>
      <c r="C14" s="2" t="s">
        <v>1</v>
      </c>
      <c r="D14" s="2" t="s">
        <v>2</v>
      </c>
      <c r="E14" s="2">
        <v>1000</v>
      </c>
      <c r="F14" s="2">
        <v>500</v>
      </c>
      <c r="G14" s="2">
        <v>500</v>
      </c>
      <c r="H14" s="2">
        <v>2</v>
      </c>
    </row>
    <row r="15" spans="1:9" x14ac:dyDescent="0.35">
      <c r="A15" t="s">
        <v>14</v>
      </c>
      <c r="B15">
        <v>4</v>
      </c>
      <c r="C15" t="s">
        <v>1</v>
      </c>
      <c r="D15" t="s">
        <v>2</v>
      </c>
      <c r="E15">
        <f>F22</f>
        <v>500</v>
      </c>
      <c r="F15">
        <f>G22</f>
        <v>333.33333333333331</v>
      </c>
      <c r="G15">
        <f>G22</f>
        <v>333.33333333333331</v>
      </c>
      <c r="H15">
        <f>G15/E15</f>
        <v>0.66666666666666663</v>
      </c>
    </row>
    <row r="16" spans="1:9" x14ac:dyDescent="0.35">
      <c r="A16" t="s">
        <v>12</v>
      </c>
      <c r="B16">
        <v>5</v>
      </c>
      <c r="C16" t="s">
        <v>1</v>
      </c>
      <c r="D16" t="s">
        <v>2</v>
      </c>
      <c r="E16">
        <f>B23</f>
        <v>1000</v>
      </c>
      <c r="F16">
        <f>C23</f>
        <v>666.66666666666674</v>
      </c>
      <c r="G16">
        <f>C23</f>
        <v>666.66666666666674</v>
      </c>
      <c r="H16">
        <f>G16/E16</f>
        <v>0.66666666666666674</v>
      </c>
    </row>
    <row r="18" spans="1:8" s="4" customFormat="1" x14ac:dyDescent="0.35">
      <c r="A18" s="4" t="s">
        <v>12</v>
      </c>
      <c r="E18" s="4" t="s">
        <v>14</v>
      </c>
    </row>
    <row r="19" spans="1:8" s="4" customFormat="1" x14ac:dyDescent="0.35">
      <c r="A19" s="4" t="s">
        <v>11</v>
      </c>
      <c r="B19" s="4" t="s">
        <v>15</v>
      </c>
      <c r="C19" s="4" t="s">
        <v>16</v>
      </c>
      <c r="D19" s="4" t="s">
        <v>8</v>
      </c>
      <c r="E19" s="4" t="s">
        <v>11</v>
      </c>
      <c r="F19" s="4" t="s">
        <v>15</v>
      </c>
      <c r="G19" s="4" t="s">
        <v>16</v>
      </c>
      <c r="H19" s="4" t="s">
        <v>8</v>
      </c>
    </row>
    <row r="20" spans="1:8" x14ac:dyDescent="0.35">
      <c r="A20" s="2">
        <v>1</v>
      </c>
      <c r="B20" s="2">
        <v>500</v>
      </c>
      <c r="C20" s="2">
        <v>500</v>
      </c>
      <c r="D20" s="2">
        <v>1</v>
      </c>
    </row>
    <row r="21" spans="1:8" x14ac:dyDescent="0.35">
      <c r="A21" s="2">
        <v>2</v>
      </c>
      <c r="B21" s="2">
        <v>1000</v>
      </c>
      <c r="C21" s="2">
        <v>500</v>
      </c>
      <c r="D21" s="2">
        <v>2</v>
      </c>
    </row>
    <row r="22" spans="1:8" x14ac:dyDescent="0.35">
      <c r="A22" s="5" t="s">
        <v>17</v>
      </c>
      <c r="B22" s="5">
        <f>SUM(B20:B21)</f>
        <v>1500</v>
      </c>
      <c r="C22" s="5">
        <f>SUM(C20:C21)</f>
        <v>1000</v>
      </c>
      <c r="D22" s="5">
        <f>C22/B22</f>
        <v>0.66666666666666663</v>
      </c>
      <c r="E22" s="1">
        <v>4</v>
      </c>
      <c r="F22" s="1">
        <v>500</v>
      </c>
      <c r="G22" s="1">
        <f>F22*D22</f>
        <v>333.33333333333331</v>
      </c>
      <c r="H22" s="1">
        <f>G22/F22</f>
        <v>0.66666666666666663</v>
      </c>
    </row>
    <row r="23" spans="1:8" x14ac:dyDescent="0.35">
      <c r="A23" s="1">
        <v>5</v>
      </c>
      <c r="B23" s="1">
        <f>B22-F22</f>
        <v>1000</v>
      </c>
      <c r="C23" s="1">
        <f>C22-G22</f>
        <v>666.66666666666674</v>
      </c>
      <c r="D23" s="1">
        <f>C23/B23</f>
        <v>0.66666666666666674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648D9-6DFE-4449-BBE8-8983C6765383}">
  <dimension ref="A1:I44"/>
  <sheetViews>
    <sheetView tabSelected="1" topLeftCell="A23" zoomScaleNormal="100" workbookViewId="0">
      <selection activeCell="E45" sqref="E45"/>
    </sheetView>
  </sheetViews>
  <sheetFormatPr defaultRowHeight="14.5" x14ac:dyDescent="0.35"/>
  <cols>
    <col min="1" max="1" width="17.36328125" customWidth="1"/>
    <col min="2" max="2" width="17.54296875" customWidth="1"/>
    <col min="3" max="3" width="17.6328125" customWidth="1"/>
    <col min="4" max="7" width="17.453125" customWidth="1"/>
    <col min="8" max="8" width="9.1796875" customWidth="1"/>
  </cols>
  <sheetData>
    <row r="1" spans="1:9" s="4" customFormat="1" x14ac:dyDescent="0.35">
      <c r="A1" s="4" t="s">
        <v>0</v>
      </c>
    </row>
    <row r="2" spans="1:9" s="4" customFormat="1" x14ac:dyDescent="0.35">
      <c r="A2" s="4" t="s">
        <v>6</v>
      </c>
      <c r="B2" s="4" t="s">
        <v>7</v>
      </c>
      <c r="C2" s="4" t="s">
        <v>3</v>
      </c>
      <c r="D2" s="4" t="s">
        <v>4</v>
      </c>
      <c r="E2" s="4" t="s">
        <v>5</v>
      </c>
      <c r="F2" s="4" t="s">
        <v>8</v>
      </c>
    </row>
    <row r="3" spans="1:9" x14ac:dyDescent="0.35">
      <c r="A3" s="2" t="s">
        <v>1</v>
      </c>
      <c r="B3" s="2" t="s">
        <v>2</v>
      </c>
      <c r="C3" s="2">
        <v>1000</v>
      </c>
      <c r="D3" s="2">
        <v>1000</v>
      </c>
      <c r="E3" s="2">
        <v>1000</v>
      </c>
      <c r="F3" s="2">
        <v>1</v>
      </c>
      <c r="G3" t="s">
        <v>18</v>
      </c>
    </row>
    <row r="4" spans="1:9" x14ac:dyDescent="0.35">
      <c r="A4" s="2" t="s">
        <v>1</v>
      </c>
      <c r="B4" s="2" t="s">
        <v>2</v>
      </c>
      <c r="C4" s="2">
        <v>2000</v>
      </c>
      <c r="D4" s="2">
        <v>1000</v>
      </c>
      <c r="E4" s="2">
        <v>1000</v>
      </c>
      <c r="F4" s="2">
        <v>2</v>
      </c>
      <c r="G4" t="s">
        <v>18</v>
      </c>
    </row>
    <row r="5" spans="1:9" x14ac:dyDescent="0.35">
      <c r="A5" t="s">
        <v>1</v>
      </c>
      <c r="B5" t="s">
        <v>2</v>
      </c>
      <c r="C5" s="3">
        <v>500</v>
      </c>
      <c r="D5" s="3">
        <v>500</v>
      </c>
      <c r="E5" s="3">
        <v>500</v>
      </c>
      <c r="F5" s="3">
        <v>1</v>
      </c>
      <c r="G5" t="s">
        <v>19</v>
      </c>
    </row>
    <row r="6" spans="1:9" x14ac:dyDescent="0.35">
      <c r="A6" t="s">
        <v>1</v>
      </c>
      <c r="B6" t="s">
        <v>2</v>
      </c>
      <c r="C6" s="3">
        <v>1000</v>
      </c>
      <c r="D6" s="3">
        <v>500</v>
      </c>
      <c r="E6" s="3">
        <v>500</v>
      </c>
      <c r="F6" s="3">
        <v>2</v>
      </c>
      <c r="G6" t="s">
        <v>19</v>
      </c>
    </row>
    <row r="7" spans="1:9" s="5" customFormat="1" x14ac:dyDescent="0.35">
      <c r="A7" s="5" t="s">
        <v>1</v>
      </c>
      <c r="B7" s="5" t="s">
        <v>2</v>
      </c>
      <c r="C7" s="5">
        <f>B23</f>
        <v>1500</v>
      </c>
      <c r="D7" s="5">
        <f>C23</f>
        <v>1000</v>
      </c>
      <c r="E7" s="5">
        <f>C23</f>
        <v>1000</v>
      </c>
      <c r="F7" s="5">
        <f>D23</f>
        <v>0.66666666666666663</v>
      </c>
      <c r="I7" s="5" t="s">
        <v>19</v>
      </c>
    </row>
    <row r="9" spans="1:9" s="4" customFormat="1" x14ac:dyDescent="0.35">
      <c r="A9" s="4" t="s">
        <v>9</v>
      </c>
    </row>
    <row r="10" spans="1:9" s="4" customFormat="1" x14ac:dyDescent="0.35">
      <c r="A10" s="4" t="s">
        <v>10</v>
      </c>
      <c r="B10" s="4" t="s">
        <v>11</v>
      </c>
      <c r="C10" s="4" t="s">
        <v>6</v>
      </c>
      <c r="D10" s="4" t="s">
        <v>7</v>
      </c>
      <c r="E10" s="4" t="s">
        <v>3</v>
      </c>
      <c r="F10" s="4" t="s">
        <v>4</v>
      </c>
      <c r="G10" s="4" t="s">
        <v>5</v>
      </c>
      <c r="H10" s="4" t="s">
        <v>8</v>
      </c>
    </row>
    <row r="11" spans="1:9" x14ac:dyDescent="0.35">
      <c r="A11" t="s">
        <v>14</v>
      </c>
      <c r="B11">
        <v>3</v>
      </c>
      <c r="C11" t="s">
        <v>1</v>
      </c>
      <c r="D11" t="s">
        <v>2</v>
      </c>
      <c r="E11">
        <v>1000</v>
      </c>
      <c r="F11">
        <v>500</v>
      </c>
      <c r="G11">
        <v>500</v>
      </c>
      <c r="H11">
        <v>2</v>
      </c>
    </row>
    <row r="12" spans="1:9" x14ac:dyDescent="0.35">
      <c r="A12" t="s">
        <v>13</v>
      </c>
      <c r="B12">
        <v>6</v>
      </c>
      <c r="C12" t="s">
        <v>1</v>
      </c>
      <c r="D12" t="s">
        <v>2</v>
      </c>
      <c r="E12">
        <v>500</v>
      </c>
      <c r="F12">
        <v>500</v>
      </c>
      <c r="G12">
        <v>500</v>
      </c>
      <c r="H12">
        <v>1</v>
      </c>
    </row>
    <row r="13" spans="1:9" x14ac:dyDescent="0.35">
      <c r="A13" t="s">
        <v>12</v>
      </c>
      <c r="B13" s="2">
        <v>1</v>
      </c>
      <c r="C13" s="2" t="s">
        <v>1</v>
      </c>
      <c r="D13" s="2" t="s">
        <v>2</v>
      </c>
      <c r="E13" s="2">
        <v>500</v>
      </c>
      <c r="F13" s="2">
        <v>500</v>
      </c>
      <c r="G13" s="2">
        <v>500</v>
      </c>
      <c r="H13" s="2">
        <v>1</v>
      </c>
    </row>
    <row r="14" spans="1:9" x14ac:dyDescent="0.35">
      <c r="A14" t="s">
        <v>12</v>
      </c>
      <c r="B14" s="2">
        <v>2</v>
      </c>
      <c r="C14" s="2" t="s">
        <v>1</v>
      </c>
      <c r="D14" s="2" t="s">
        <v>2</v>
      </c>
      <c r="E14" s="2">
        <v>1000</v>
      </c>
      <c r="F14" s="2">
        <v>500</v>
      </c>
      <c r="G14" s="2">
        <v>500</v>
      </c>
      <c r="H14" s="2">
        <v>2</v>
      </c>
    </row>
    <row r="15" spans="1:9" x14ac:dyDescent="0.35">
      <c r="A15" t="s">
        <v>14</v>
      </c>
      <c r="B15" s="7">
        <v>3</v>
      </c>
      <c r="C15" t="s">
        <v>1</v>
      </c>
      <c r="D15" t="s">
        <v>2</v>
      </c>
      <c r="E15">
        <f>F23</f>
        <v>500</v>
      </c>
      <c r="F15">
        <f>G23</f>
        <v>333.33333333333331</v>
      </c>
      <c r="G15">
        <f>G23</f>
        <v>333.33333333333331</v>
      </c>
      <c r="H15">
        <f>G15/E15</f>
        <v>0.66666666666666663</v>
      </c>
    </row>
    <row r="16" spans="1:9" s="3" customFormat="1" x14ac:dyDescent="0.35">
      <c r="A16" s="3" t="s">
        <v>12</v>
      </c>
      <c r="B16" s="7">
        <v>1</v>
      </c>
      <c r="C16" s="7" t="s">
        <v>1</v>
      </c>
      <c r="D16" s="7" t="s">
        <v>2</v>
      </c>
      <c r="E16" s="7">
        <f>B34</f>
        <v>1000</v>
      </c>
      <c r="F16" s="7">
        <f>C34</f>
        <v>666.66666666666674</v>
      </c>
      <c r="G16" s="7">
        <f>C34</f>
        <v>666.66666666666674</v>
      </c>
      <c r="H16" s="7">
        <f>G16/E16</f>
        <v>0.66666666666666674</v>
      </c>
    </row>
    <row r="18" spans="1:9" s="4" customFormat="1" x14ac:dyDescent="0.35">
      <c r="A18" s="4" t="s">
        <v>12</v>
      </c>
      <c r="E18" s="4" t="s">
        <v>14</v>
      </c>
      <c r="F18" s="6" t="s">
        <v>20</v>
      </c>
    </row>
    <row r="19" spans="1:9" s="4" customFormat="1" x14ac:dyDescent="0.35">
      <c r="A19" s="4" t="s">
        <v>11</v>
      </c>
      <c r="B19" s="4" t="s">
        <v>15</v>
      </c>
      <c r="C19" s="4" t="s">
        <v>16</v>
      </c>
      <c r="D19" s="4" t="s">
        <v>8</v>
      </c>
      <c r="E19" s="4" t="s">
        <v>11</v>
      </c>
      <c r="F19" s="4" t="s">
        <v>15</v>
      </c>
      <c r="G19" s="4" t="s">
        <v>16</v>
      </c>
      <c r="H19" s="4" t="s">
        <v>8</v>
      </c>
    </row>
    <row r="20" spans="1:9" s="4" customFormat="1" x14ac:dyDescent="0.35">
      <c r="E20" s="6">
        <v>3</v>
      </c>
      <c r="F20" s="7">
        <v>1000</v>
      </c>
      <c r="G20" s="7">
        <v>500</v>
      </c>
      <c r="H20" s="7">
        <v>2</v>
      </c>
    </row>
    <row r="21" spans="1:9" x14ac:dyDescent="0.35">
      <c r="A21" s="2">
        <v>1</v>
      </c>
      <c r="B21" s="2">
        <v>500</v>
      </c>
      <c r="C21" s="2">
        <v>500</v>
      </c>
      <c r="D21" s="2">
        <v>1</v>
      </c>
    </row>
    <row r="22" spans="1:9" x14ac:dyDescent="0.35">
      <c r="A22" s="2">
        <v>2</v>
      </c>
      <c r="B22" s="2">
        <v>1000</v>
      </c>
      <c r="C22" s="2">
        <v>500</v>
      </c>
      <c r="D22" s="2">
        <v>2</v>
      </c>
    </row>
    <row r="23" spans="1:9" x14ac:dyDescent="0.35">
      <c r="A23" s="5" t="s">
        <v>17</v>
      </c>
      <c r="B23" s="5">
        <f>SUM(B21:B22)</f>
        <v>1500</v>
      </c>
      <c r="C23" s="5">
        <f>SUM(C21:C22)</f>
        <v>1000</v>
      </c>
      <c r="D23" s="5">
        <f>C23/B23</f>
        <v>0.66666666666666663</v>
      </c>
      <c r="E23" s="1">
        <v>3</v>
      </c>
      <c r="F23" s="1">
        <v>500</v>
      </c>
      <c r="G23" s="1">
        <f>F23*D23</f>
        <v>333.33333333333331</v>
      </c>
      <c r="H23" s="1">
        <f>G23/F23</f>
        <v>0.66666666666666663</v>
      </c>
    </row>
    <row r="24" spans="1:9" x14ac:dyDescent="0.35">
      <c r="A24" s="1">
        <v>5</v>
      </c>
      <c r="B24" s="1">
        <f>B23-F23</f>
        <v>1000</v>
      </c>
      <c r="C24" s="1">
        <f>C23-G23</f>
        <v>666.66666666666674</v>
      </c>
      <c r="D24" s="1">
        <f>C24/B24</f>
        <v>0.66666666666666674</v>
      </c>
    </row>
    <row r="27" spans="1:9" x14ac:dyDescent="0.35">
      <c r="A27" s="4" t="s">
        <v>12</v>
      </c>
      <c r="B27" s="6" t="s">
        <v>20</v>
      </c>
      <c r="C27" s="4"/>
      <c r="D27" s="4"/>
      <c r="E27" s="4" t="s">
        <v>14</v>
      </c>
      <c r="G27" s="4"/>
      <c r="H27" s="4"/>
      <c r="I27" s="4"/>
    </row>
    <row r="28" spans="1:9" x14ac:dyDescent="0.35">
      <c r="A28" s="4" t="s">
        <v>11</v>
      </c>
      <c r="B28" s="4" t="s">
        <v>15</v>
      </c>
      <c r="C28" s="4" t="s">
        <v>16</v>
      </c>
      <c r="D28" s="4" t="s">
        <v>8</v>
      </c>
      <c r="E28" s="4" t="s">
        <v>11</v>
      </c>
      <c r="F28" s="4" t="s">
        <v>15</v>
      </c>
      <c r="G28" s="4" t="s">
        <v>16</v>
      </c>
      <c r="H28" s="4" t="s">
        <v>8</v>
      </c>
      <c r="I28" s="4"/>
    </row>
    <row r="29" spans="1:9" x14ac:dyDescent="0.35">
      <c r="A29" s="6">
        <v>1</v>
      </c>
      <c r="B29" s="7">
        <v>500</v>
      </c>
      <c r="C29" s="7">
        <v>500</v>
      </c>
      <c r="D29" s="7">
        <v>1</v>
      </c>
      <c r="I29" s="4"/>
    </row>
    <row r="30" spans="1:9" x14ac:dyDescent="0.35">
      <c r="A30" s="6">
        <v>2</v>
      </c>
      <c r="B30" s="7">
        <v>1000</v>
      </c>
      <c r="C30" s="7">
        <v>500</v>
      </c>
      <c r="D30" s="7">
        <v>2</v>
      </c>
      <c r="I30" s="4"/>
    </row>
    <row r="31" spans="1:9" x14ac:dyDescent="0.35">
      <c r="A31" s="2">
        <v>1</v>
      </c>
      <c r="B31" s="2">
        <v>500</v>
      </c>
      <c r="C31" s="2">
        <v>500</v>
      </c>
      <c r="D31" s="2">
        <v>1</v>
      </c>
    </row>
    <row r="32" spans="1:9" x14ac:dyDescent="0.35">
      <c r="A32" s="2">
        <v>2</v>
      </c>
      <c r="B32" s="2">
        <v>1000</v>
      </c>
      <c r="C32" s="2">
        <v>500</v>
      </c>
      <c r="D32" s="2">
        <v>2</v>
      </c>
    </row>
    <row r="33" spans="1:9" x14ac:dyDescent="0.35">
      <c r="A33" s="5" t="s">
        <v>17</v>
      </c>
      <c r="B33" s="5">
        <f>SUM(B31:B32)</f>
        <v>1500</v>
      </c>
      <c r="C33" s="5">
        <f>SUM(C31:C32)</f>
        <v>1000</v>
      </c>
      <c r="D33" s="5">
        <f>C33/B33</f>
        <v>0.66666666666666663</v>
      </c>
      <c r="E33" s="1">
        <v>4</v>
      </c>
      <c r="F33" s="1">
        <v>500</v>
      </c>
      <c r="G33" s="1">
        <f>F33*D33</f>
        <v>333.33333333333331</v>
      </c>
      <c r="H33" s="1">
        <f>G33/F33</f>
        <v>0.66666666666666663</v>
      </c>
    </row>
    <row r="34" spans="1:9" x14ac:dyDescent="0.35">
      <c r="A34" s="8" t="s">
        <v>21</v>
      </c>
      <c r="B34" s="1">
        <f>B33-F33</f>
        <v>1000</v>
      </c>
      <c r="C34" s="1">
        <f>C33-G33</f>
        <v>666.66666666666674</v>
      </c>
      <c r="D34" s="1">
        <f>C34/B34</f>
        <v>0.66666666666666674</v>
      </c>
    </row>
    <row r="37" spans="1:9" x14ac:dyDescent="0.35">
      <c r="A37" s="4" t="s">
        <v>12</v>
      </c>
      <c r="B37" s="6" t="s">
        <v>20</v>
      </c>
      <c r="C37" s="4"/>
      <c r="D37" s="4"/>
      <c r="E37" s="4" t="s">
        <v>14</v>
      </c>
      <c r="G37" s="4"/>
      <c r="H37" s="4"/>
      <c r="I37" s="4"/>
    </row>
    <row r="38" spans="1:9" x14ac:dyDescent="0.35">
      <c r="A38" s="4" t="s">
        <v>11</v>
      </c>
      <c r="B38" s="4" t="s">
        <v>15</v>
      </c>
      <c r="C38" s="4" t="s">
        <v>16</v>
      </c>
      <c r="D38" s="4" t="s">
        <v>8</v>
      </c>
      <c r="E38" s="4" t="s">
        <v>11</v>
      </c>
      <c r="F38" s="4" t="s">
        <v>15</v>
      </c>
      <c r="G38" s="4" t="s">
        <v>16</v>
      </c>
      <c r="H38" s="4" t="s">
        <v>8</v>
      </c>
      <c r="I38" s="4"/>
    </row>
    <row r="39" spans="1:9" x14ac:dyDescent="0.35">
      <c r="A39" s="6">
        <v>1</v>
      </c>
      <c r="B39" s="7">
        <v>500</v>
      </c>
      <c r="C39" s="7">
        <v>500</v>
      </c>
      <c r="D39" s="7">
        <v>1</v>
      </c>
      <c r="E39" s="6">
        <v>3</v>
      </c>
      <c r="F39" s="7">
        <v>1000</v>
      </c>
      <c r="G39" s="7">
        <v>500</v>
      </c>
      <c r="H39" s="7">
        <v>2</v>
      </c>
      <c r="I39" s="4"/>
    </row>
    <row r="40" spans="1:9" x14ac:dyDescent="0.35">
      <c r="A40" s="6">
        <v>2</v>
      </c>
      <c r="B40" s="7">
        <v>1000</v>
      </c>
      <c r="C40" s="7">
        <v>500</v>
      </c>
      <c r="D40" s="7">
        <v>2</v>
      </c>
      <c r="I40" s="4"/>
    </row>
    <row r="41" spans="1:9" x14ac:dyDescent="0.35">
      <c r="A41" s="2">
        <v>1</v>
      </c>
      <c r="B41" s="2">
        <v>500</v>
      </c>
      <c r="C41" s="2">
        <v>500</v>
      </c>
      <c r="D41" s="2">
        <v>1</v>
      </c>
    </row>
    <row r="42" spans="1:9" x14ac:dyDescent="0.35">
      <c r="A42" s="2">
        <v>2</v>
      </c>
      <c r="B42" s="2">
        <v>1000</v>
      </c>
      <c r="C42" s="2">
        <v>500</v>
      </c>
      <c r="D42" s="2">
        <v>2</v>
      </c>
    </row>
    <row r="43" spans="1:9" x14ac:dyDescent="0.35">
      <c r="A43" s="5" t="s">
        <v>17</v>
      </c>
      <c r="B43" s="5">
        <f>SUM(B41:B42)</f>
        <v>1500</v>
      </c>
      <c r="C43" s="5">
        <f>SUM(C41:C42)</f>
        <v>1000</v>
      </c>
      <c r="D43" s="5">
        <f>C43/B43</f>
        <v>0.66666666666666663</v>
      </c>
      <c r="E43" s="1">
        <v>3</v>
      </c>
      <c r="F43" s="1">
        <v>500</v>
      </c>
      <c r="G43" s="1">
        <f>F43*D43</f>
        <v>333.33333333333331</v>
      </c>
      <c r="H43" s="1">
        <f>G43/F43</f>
        <v>0.66666666666666663</v>
      </c>
    </row>
    <row r="44" spans="1:9" x14ac:dyDescent="0.35">
      <c r="A44" s="8" t="s">
        <v>21</v>
      </c>
      <c r="B44" s="1">
        <f>B43-F43</f>
        <v>1000</v>
      </c>
      <c r="C44" s="1">
        <f>C43-G43</f>
        <v>666.66666666666674</v>
      </c>
      <c r="D44" s="1">
        <f>C44/B44</f>
        <v>0.66666666666666674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Weighted Average</vt:lpstr>
      <vt:lpstr>Weighted Average + Combine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2022-02-22T04:48:44Z</dcterms:created>
  <dcterms:modified xsi:type="dcterms:W3CDTF">2022-02-22T05:18:37Z</dcterms:modified>
</cp:coreProperties>
</file>